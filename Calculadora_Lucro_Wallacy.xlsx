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 #,##0.00"/>
    <numFmt numFmtId="165" formatCode="&quot;R$ &quot; #,##0"/>
  </numFmts>
  <fonts count="6">
    <font>
      <name val="Calibri"/>
      <family val="2"/>
      <color theme="1"/>
      <sz val="11"/>
      <scheme val="minor"/>
    </font>
    <font>
      <b val="1"/>
      <color rgb="000F172A"/>
      <sz val="16"/>
    </font>
    <font>
      <color rgb="0064748B"/>
      <sz val="10"/>
    </font>
    <font>
      <b val="1"/>
      <color rgb="00FFFFFF"/>
    </font>
    <font>
      <b val="1"/>
    </font>
    <font>
      <b val="1"/>
      <color rgb="00059669"/>
    </font>
  </fonts>
  <fills count="6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0F172A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164" fontId="4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9" fontId="4" fillId="3" borderId="1" applyAlignment="1" pivotButton="0" quotePrefix="0" xfId="0">
      <alignment horizontal="right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9" fontId="5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3" borderId="1" pivotButton="0" quotePrefix="0" xfId="0"/>
    <xf numFmtId="165" fontId="5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3" fillId="5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3" customWidth="1" min="4" max="4"/>
    <col width="42" customWidth="1" min="5" max="5"/>
    <col width="16" customWidth="1" min="6" max="6"/>
  </cols>
  <sheetData>
    <row r="1">
      <c r="B1" s="1" t="inlineStr">
        <is>
          <t>Calculadora de Lucro — SaaS Wallacy Corretor</t>
        </is>
      </c>
    </row>
    <row r="2">
      <c r="B2" s="2" t="inlineStr">
        <is>
          <t>Edite as células verdes (premissas). Os resultados se recalculam sozinhos.</t>
        </is>
      </c>
    </row>
    <row r="4">
      <c r="B4" s="3" t="inlineStr">
        <is>
          <t>PREMISSAS (edite aqui)</t>
        </is>
      </c>
      <c r="C4" s="4" t="n"/>
      <c r="E4" s="5" t="inlineStr">
        <is>
          <t>POR ASSINANTE</t>
        </is>
      </c>
      <c r="F4" s="6" t="n"/>
    </row>
    <row r="5">
      <c r="B5" s="7" t="inlineStr">
        <is>
          <t>Preço da assinatura / mês</t>
        </is>
      </c>
      <c r="C5" s="8" t="n">
        <v>197</v>
      </c>
      <c r="E5" s="7" t="inlineStr">
        <is>
          <t>Preço</t>
        </is>
      </c>
      <c r="F5" s="9">
        <f>C5</f>
        <v/>
      </c>
    </row>
    <row r="6">
      <c r="B6" s="7" t="inlineStr">
        <is>
          <t>Nº de assinantes</t>
        </is>
      </c>
      <c r="C6" s="10" t="n">
        <v>50</v>
      </c>
      <c r="E6" s="7" t="inlineStr">
        <is>
          <t>Custo WhatsApp</t>
        </is>
      </c>
      <c r="F6" s="9">
        <f>C7*C8</f>
        <v/>
      </c>
    </row>
    <row r="7">
      <c r="B7" s="7" t="inlineStr">
        <is>
          <t>Disparos WhatsApp iniciados / cliente / mês</t>
        </is>
      </c>
      <c r="C7" s="10" t="n">
        <v>120</v>
      </c>
      <c r="E7" s="7" t="inlineStr">
        <is>
          <t>Custo infra</t>
        </is>
      </c>
      <c r="F7" s="9">
        <f>C9</f>
        <v/>
      </c>
    </row>
    <row r="8">
      <c r="B8" s="7" t="inlineStr">
        <is>
          <t>Custo médio por disparo (R$)</t>
        </is>
      </c>
      <c r="C8" s="8" t="n">
        <v>0.12</v>
      </c>
      <c r="E8" s="7" t="inlineStr">
        <is>
          <t>Custo taxa pagamento</t>
        </is>
      </c>
      <c r="F8" s="9">
        <f>C5*C10</f>
        <v/>
      </c>
    </row>
    <row r="9">
      <c r="B9" s="7" t="inlineStr">
        <is>
          <t>Infra / cliente / mês (banco, hospedagem)</t>
        </is>
      </c>
      <c r="C9" s="8" t="n">
        <v>4</v>
      </c>
      <c r="E9" s="7" t="inlineStr">
        <is>
          <t>Custo total / cliente</t>
        </is>
      </c>
      <c r="F9" s="9">
        <f>C7*C8+C9+C5*C10</f>
        <v/>
      </c>
    </row>
    <row r="10">
      <c r="B10" s="7" t="inlineStr">
        <is>
          <t>Taxa do gateway de pagamento (%)</t>
        </is>
      </c>
      <c r="C10" s="11" t="n">
        <v>0.05</v>
      </c>
      <c r="E10" s="12" t="inlineStr">
        <is>
          <t>Margem / cliente</t>
        </is>
      </c>
      <c r="F10" s="13">
        <f>C5-(C7*C8+C9+C5*C10)</f>
        <v/>
      </c>
    </row>
    <row r="11">
      <c r="B11" s="7" t="inlineStr">
        <is>
          <t>Custos fixos / mês (você, marketing, ferramentas)</t>
        </is>
      </c>
      <c r="C11" s="14" t="n">
        <v>500</v>
      </c>
      <c r="E11" s="12" t="inlineStr">
        <is>
          <t>Margem %</t>
        </is>
      </c>
      <c r="F11" s="15">
        <f>(C5-(C7*C8+C9+C5*C10))/C5</f>
        <v/>
      </c>
    </row>
    <row r="13">
      <c r="B13" s="3" t="inlineStr">
        <is>
          <t>RESULTADO MENSAL</t>
        </is>
      </c>
      <c r="C13" s="4" t="n"/>
    </row>
    <row r="14">
      <c r="B14" s="7" t="inlineStr">
        <is>
          <t>Receita mensal</t>
        </is>
      </c>
      <c r="C14" s="16">
        <f>C5*C6</f>
        <v/>
      </c>
    </row>
    <row r="15">
      <c r="B15" s="7" t="inlineStr">
        <is>
          <t>(–) Custos variáveis (todos clientes)</t>
        </is>
      </c>
      <c r="C15" s="16">
        <f>(C7*C8+C9+C5*C10)*C6</f>
        <v/>
      </c>
    </row>
    <row r="16">
      <c r="B16" s="7" t="inlineStr">
        <is>
          <t>(–) Custos fixos</t>
        </is>
      </c>
      <c r="C16" s="16">
        <f>C11</f>
        <v/>
      </c>
    </row>
    <row r="17">
      <c r="B17" s="17" t="inlineStr">
        <is>
          <t>LUCRO LÍQUIDO / MÊS</t>
        </is>
      </c>
      <c r="C17" s="18">
        <f>C5*C6-(C7*C8+C9+C5*C10)*C6-C11</f>
        <v/>
      </c>
    </row>
    <row r="18">
      <c r="B18" s="17" t="inlineStr">
        <is>
          <t>LUCRO LÍQUIDO / ANO</t>
        </is>
      </c>
      <c r="C18" s="18">
        <f>(C5*C6-(C7*C8+C9+C5*C10)*C6-C11)*12</f>
        <v/>
      </c>
    </row>
    <row r="19">
      <c r="B19" s="7" t="inlineStr">
        <is>
          <t>Ponto de equilíbrio (nº assinantes)</t>
        </is>
      </c>
      <c r="C19" s="19">
        <f>ROUNDUP(C11/F10,0)</f>
        <v/>
      </c>
    </row>
    <row r="21">
      <c r="B21" s="20" t="inlineStr">
        <is>
          <t>CENÁRIOS DE ESCALA (lucro/mês conforme cresce a base)</t>
        </is>
      </c>
      <c r="C21" s="21" t="n"/>
      <c r="D21" s="21" t="n"/>
      <c r="E21" s="21" t="n"/>
      <c r="F21" s="21" t="n"/>
    </row>
    <row r="22">
      <c r="B22" s="22" t="inlineStr">
        <is>
          <t>Assinantes</t>
        </is>
      </c>
      <c r="C22" s="23" t="n">
        <v>10</v>
      </c>
      <c r="D22" s="23" t="n">
        <v>30</v>
      </c>
      <c r="E22" s="23" t="n">
        <v>50</v>
      </c>
      <c r="F22" s="23" t="n">
        <v>100</v>
      </c>
    </row>
    <row r="23">
      <c r="B23" s="7" t="inlineStr">
        <is>
          <t>Lucro líquido / mês</t>
        </is>
      </c>
      <c r="C23" s="24">
        <f>C5*C22-(C7*C8+C9+C5*C10)*C22-C11</f>
        <v/>
      </c>
      <c r="D23" s="24">
        <f>C5*D22-(C7*C8+C9+C5*C10)*D22-C11</f>
        <v/>
      </c>
      <c r="E23" s="24">
        <f>C5*E22-(C7*C8+C9+C5*C10)*E22-C11</f>
        <v/>
      </c>
      <c r="F23" s="24">
        <f>C5*F22-(C7*C8+C9+C5*C10)*F22-C11</f>
        <v/>
      </c>
    </row>
    <row r="25">
      <c r="B25" s="2" t="inlineStr">
        <is>
          <t>Nota: responder cliente dentro de 24h é grátis no WhatsApp. O custo incide só nos disparos iniciados pelo corretor.</t>
        </is>
      </c>
    </row>
    <row r="26">
      <c r="B26" s="2" t="inlineStr">
        <is>
          <t>Valores de referência (jun/2026). Ajuste conforme seu intermediador de WhatsApp e gateway.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2026-06-26T00:26:30Z</dcterms:created>
  <dcterms:modified xmlns:dcterms="http://purl.org/dc/terms/" xmlns:xsi="http://www.w3.org/2001/XMLSchema-instance" xsi:type="dcterms:W3CDTF">2026-06-26T00:26:30Z</dcterms:modified>
</cp:coreProperties>
</file>